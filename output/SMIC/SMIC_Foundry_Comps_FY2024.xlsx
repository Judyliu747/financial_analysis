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2E74B5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Comps Model</author>
  </authors>
  <commentList>
    <comment ref="C7" authorId="0" shapeId="0">
      <text>
        <t>Source: TSMC FY2024 Annual Report (investor.tsmc.com). Revenue TWD 2,894.31B ÷ 32.8 TWD/USD = $88.3B. EBITDA $60.5B per MacroTrends/company disclosure (68.5% margin). Net Income TWD 1,173.27B ÷ 32 = $36.7B.</t>
      </text>
    </comment>
    <comment ref="D7" authorId="0" shapeId="0">
      <text>
        <t>Source: TSMC FY2024 Annual Report (investor.tsmc.com). Revenue TWD 2,894.31B ÷ 32.8 TWD/USD = $88.3B. EBITDA $60.5B per MacroTrends/company disclosure (68.5% margin). Net Income TWD 1,173.27B ÷ 32 = $36.7B.</t>
      </text>
    </comment>
    <comment ref="E7" authorId="0" shapeId="0">
      <text>
        <t>Source: TSMC FY2024 Annual Report (investor.tsmc.com). Revenue TWD 2,894.31B ÷ 32.8 TWD/USD = $88.3B. EBITDA $60.5B per MacroTrends/company disclosure (68.5% margin). Net Income TWD 1,173.27B ÷ 32 = $36.7B.</t>
      </text>
    </comment>
    <comment ref="G7" authorId="0" shapeId="0">
      <text>
        <t>Source: TSMC FY2024 Annual Report (investor.tsmc.com). Revenue TWD 2,894.31B ÷ 32.8 TWD/USD = $88.3B. EBITDA $60.5B per MacroTrends/company disclosure (68.5% margin). Net Income TWD 1,173.27B ÷ 32 = $36.7B.</t>
      </text>
    </comment>
    <comment ref="I7" authorId="0" shapeId="0">
      <text>
        <t>Source: TSMC FY2024 Annual Report (investor.tsmc.com). Revenue TWD 2,894.31B ÷ 32.8 TWD/USD = $88.3B. EBITDA $60.5B per MacroTrends/company disclosure (68.5% margin). Net Income TWD 1,173.27B ÷ 32 = $36.7B.</t>
      </text>
    </comment>
    <comment ref="J7" authorId="0" shapeId="0">
      <text>
        <t>Source: TSMC FY2024 Annual Report (investor.tsmc.com). Revenue TWD 2,894.31B ÷ 32.8 TWD/USD = $88.3B. EBITDA $60.5B per MacroTrends/company disclosure (68.5% margin). Net Income TWD 1,173.27B ÷ 32 = $36.7B.</t>
      </text>
    </comment>
    <comment ref="C8" authorId="0" shapeId="0">
      <text>
        <t>Source: SMIC FY2024 Annual Results (smics.com/en/site/news_read/7919). Official USD figures. Revenue +27.0% YoY to $8,029.9M. EBITDA $4,379.7M (+7.8% YoY) per IFRS. CapEx $7.33B.</t>
      </text>
    </comment>
    <comment ref="D8" authorId="0" shapeId="0">
      <text>
        <t>Source: SMIC FY2024 Annual Results (smics.com/en/site/news_read/7919). Official USD figures. Revenue +27.0% YoY to $8,029.9M. EBITDA $4,379.7M (+7.8% YoY) per IFRS. CapEx $7.33B.</t>
      </text>
    </comment>
    <comment ref="E8" authorId="0" shapeId="0">
      <text>
        <t>Source: SMIC FY2024 Annual Results (smics.com/en/site/news_read/7919). Official USD figures. Revenue +27.0% YoY to $8,029.9M. EBITDA $4,379.7M (+7.8% YoY) per IFRS. CapEx $7.33B.</t>
      </text>
    </comment>
    <comment ref="G8" authorId="0" shapeId="0">
      <text>
        <t>Source: SMIC FY2024 Annual Results (smics.com/en/site/news_read/7919). Official USD figures. Revenue +27.0% YoY to $8,029.9M. EBITDA $4,379.7M (+7.8% YoY) per IFRS. CapEx $7.33B.</t>
      </text>
    </comment>
    <comment ref="I8" authorId="0" shapeId="0">
      <text>
        <t>Source: SMIC FY2024 Annual Results (smics.com/en/site/news_read/7919). Official USD figures. Revenue +27.0% YoY to $8,029.9M. EBITDA $4,379.7M (+7.8% YoY) per IFRS. CapEx $7.33B.</t>
      </text>
    </comment>
    <comment ref="J8" authorId="0" shapeId="0">
      <text>
        <t>Source: SMIC FY2024 Annual Results (smics.com/en/site/news_read/7919). Official USD figures. Revenue +27.0% YoY to $8,029.9M. EBITDA $4,379.7M (+7.8% YoY) per IFRS. CapEx $7.33B.</t>
      </text>
    </comment>
    <comment ref="C9" authorId="0" shapeId="0">
      <text>
        <t>Source: UMC Q4 2024 Earnings Release (businesswire.com, Jan 21, 2025). Revenue NT$226.7B ÷ 32 = ~$7.09B. Gross margin 28.9%. EBITDA estimated: operating income (~18.5% margin) + D&amp;A (~$1.6B est.).</t>
      </text>
    </comment>
    <comment ref="D9" authorId="0" shapeId="0">
      <text>
        <t>Source: UMC Q4 2024 Earnings Release (businesswire.com, Jan 21, 2025). Revenue NT$226.7B ÷ 32 = ~$7.09B. Gross margin 28.9%. EBITDA estimated: operating income (~18.5% margin) + D&amp;A (~$1.6B est.).</t>
      </text>
    </comment>
    <comment ref="E9" authorId="0" shapeId="0">
      <text>
        <t>Source: UMC Q4 2024 Earnings Release (businesswire.com, Jan 21, 2025). Revenue NT$226.7B ÷ 32 = ~$7.09B. Gross margin 28.9%. EBITDA estimated: operating income (~18.5% margin) + D&amp;A (~$1.6B est.).</t>
      </text>
    </comment>
    <comment ref="G9" authorId="0" shapeId="0">
      <text>
        <t>Source: UMC Q4 2024 Earnings Release (businesswire.com, Jan 21, 2025). Revenue NT$226.7B ÷ 32 = ~$7.09B. Gross margin 28.9%. EBITDA estimated: operating income (~18.5% margin) + D&amp;A (~$1.6B est.).</t>
      </text>
    </comment>
    <comment ref="I9" authorId="0" shapeId="0">
      <text>
        <t>Source: UMC Q4 2024 Earnings Release (businesswire.com, Jan 21, 2025). Revenue NT$226.7B ÷ 32 = ~$7.09B. Gross margin 28.9%. EBITDA estimated: operating income (~18.5% margin) + D&amp;A (~$1.6B est.).</t>
      </text>
    </comment>
    <comment ref="J9" authorId="0" shapeId="0">
      <text>
        <t>Source: UMC Q4 2024 Earnings Release (businesswire.com, Jan 21, 2025). Revenue NT$226.7B ÷ 32 = ~$7.09B. Gross margin 28.9%. EBITDA estimated: operating income (~18.5% margin) + D&amp;A (~$1.6B est.).</t>
      </text>
    </comment>
    <comment ref="C10" authorId="0" shapeId="0">
      <text>
        <t>Source: GlobalFoundries FY2024 Financial Results (investors.gf.com, Feb 11, 2025). Revenue $6,750M (–9% YoY). Gross margin 24.5%. Non-IFRS Adjusted EBITDA $2,475M. GAAP net loss $262M due to $935M asset impairment.</t>
      </text>
    </comment>
    <comment ref="D10" authorId="0" shapeId="0">
      <text>
        <t>Source: GlobalFoundries FY2024 Financial Results (investors.gf.com, Feb 11, 2025). Revenue $6,750M (–9% YoY). Gross margin 24.5%. Non-IFRS Adjusted EBITDA $2,475M. GAAP net loss $262M due to $935M asset impairment.</t>
      </text>
    </comment>
    <comment ref="E10" authorId="0" shapeId="0">
      <text>
        <t>Source: GlobalFoundries FY2024 Financial Results (investors.gf.com, Feb 11, 2025). Revenue $6,750M (–9% YoY). Gross margin 24.5%. Non-IFRS Adjusted EBITDA $2,475M. GAAP net loss $262M due to $935M asset impairment.</t>
      </text>
    </comment>
    <comment ref="G10" authorId="0" shapeId="0">
      <text>
        <t>Source: GlobalFoundries FY2024 Financial Results (investors.gf.com, Feb 11, 2025). Revenue $6,750M (–9% YoY). Gross margin 24.5%. Non-IFRS Adjusted EBITDA $2,475M. GAAP net loss $262M due to $935M asset impairment.</t>
      </text>
    </comment>
    <comment ref="I10" authorId="0" shapeId="0">
      <text>
        <t>GFS reported GAAP net loss of $262M in FY2024, driven by a $935M impairment charge on long-lived assets at its Malta, NY facility. Non-GAAP net income was $870M. P/E is NM on a GAAP basis.</t>
      </text>
    </comment>
    <comment ref="J10" authorId="0" shapeId="0">
      <text>
        <t>Source: GlobalFoundries FY2024 Financial Results (investors.gf.com, Feb 11, 2025). Revenue $6,750M (–9% YoY). Gross margin 24.5%. Non-IFRS Adjusted EBITDA $2,475M. GAAP net loss $262M due to $935M asset impairment.</t>
      </text>
    </comment>
    <comment ref="C11" authorId="0" shapeId="0">
      <text>
        <t>Source: Hua Hong Semiconductor FY2024 results (thestandard.com.hk). Revenue –12.3% YoY to ~$2,000M. Gross margin 10.2% (–11.1pp YoY). EBITDA estimated ~$500M (25% margin); heavy D&amp;A from recent capacity expansion.</t>
      </text>
    </comment>
    <comment ref="D11" authorId="0" shapeId="0">
      <text>
        <t>Source: Hua Hong Semiconductor FY2024 results (thestandard.com.hk). Revenue –12.3% YoY to ~$2,000M. Gross margin 10.2% (–11.1pp YoY). EBITDA estimated ~$500M (25% margin); heavy D&amp;A from recent capacity expansion.</t>
      </text>
    </comment>
    <comment ref="E11" authorId="0" shapeId="0">
      <text>
        <t>Source: Hua Hong Semiconductor FY2024 results (thestandard.com.hk). Revenue –12.3% YoY to ~$2,000M. Gross margin 10.2% (–11.1pp YoY). EBITDA estimated ~$500M (25% margin); heavy D&amp;A from recent capacity expansion.</t>
      </text>
    </comment>
    <comment ref="G11" authorId="0" shapeId="0">
      <text>
        <t>Source: Hua Hong Semiconductor FY2024 results (thestandard.com.hk). Revenue –12.3% YoY to ~$2,000M. Gross margin 10.2% (–11.1pp YoY). EBITDA estimated ~$500M (25% margin); heavy D&amp;A from recent capacity expansion.</t>
      </text>
    </comment>
    <comment ref="I11" authorId="0" shapeId="0">
      <text>
        <t>Source: Hua Hong Semiconductor FY2024 results (thestandard.com.hk). Revenue –12.3% YoY to ~$2,000M. Gross margin 10.2% (–11.1pp YoY). EBITDA estimated ~$500M (25% margin); heavy D&amp;A from recent capacity expansion.</t>
      </text>
    </comment>
    <comment ref="J11" authorId="0" shapeId="0">
      <text>
        <t>Source: Hua Hong Semiconductor FY2024 results (thestandard.com.hk). Revenue –12.3% YoY to ~$2,000M. Gross margin 10.2% (–11.1pp YoY). EBITDA estimated ~$500M (25% margin); heavy D&amp;A from recent capacity expansion.</t>
      </text>
    </comment>
    <comment ref="C12" authorId="0" shapeId="0">
      <text>
        <t>Source: Tower Semiconductor FY2024 Results (globenewswire.com, Feb 10, 2025). Revenue $1,440M (+0.9% YoY). Gross margin 23.6%. EBITDA $457.6M (31.8% margin) per company disclosure.</t>
      </text>
    </comment>
    <comment ref="D12" authorId="0" shapeId="0">
      <text>
        <t>Source: Tower Semiconductor FY2024 Results (globenewswire.com, Feb 10, 2025). Revenue $1,440M (+0.9% YoY). Gross margin 23.6%. EBITDA $457.6M (31.8% margin) per company disclosure.</t>
      </text>
    </comment>
    <comment ref="E12" authorId="0" shapeId="0">
      <text>
        <t>Source: Tower Semiconductor FY2024 Results (globenewswire.com, Feb 10, 2025). Revenue $1,440M (+0.9% YoY). Gross margin 23.6%. EBITDA $457.6M (31.8% margin) per company disclosure.</t>
      </text>
    </comment>
    <comment ref="G12" authorId="0" shapeId="0">
      <text>
        <t>Source: Tower Semiconductor FY2024 Results (globenewswire.com, Feb 10, 2025). Revenue $1,440M (+0.9% YoY). Gross margin 23.6%. EBITDA $457.6M (31.8% margin) per company disclosure.</t>
      </text>
    </comment>
    <comment ref="I12" authorId="0" shapeId="0">
      <text>
        <t>Source: Tower Semiconductor FY2024 Results (globenewswire.com, Feb 10, 2025). Revenue $1,440M (+0.9% YoY). Gross margin 23.6%. EBITDA $457.6M (31.8% margin) per company disclosure.</t>
      </text>
    </comment>
    <comment ref="J12" authorId="0" shapeId="0">
      <text>
        <t>Source: Tower Semiconductor FY2024 Results (globenewswire.com, Feb 10, 2025). Revenue $1,440M (+0.9% YoY). Gross margin 23.6%. EBITDA $457.6M (31.8% margin) per company disclosure.</t>
      </text>
    </comment>
    <comment ref="C23" authorId="0" shapeId="0">
      <text>
        <t>Market Cap ~$850B: TSMC ~5.18B shares × ~$164/ADS (end-2024 est.). EV = Mkt Cap – net cash ~$40B. Note: price has risen further in early 2026.</t>
      </text>
    </comment>
    <comment ref="D23" authorId="0" shapeId="0">
      <text>
        <t>Market Cap ~$850B: TSMC ~5.18B shares × ~$164/ADS (end-2024 est.). EV = Mkt Cap – net cash ~$40B. Note: price has risen further in early 2026.</t>
      </text>
    </comment>
    <comment ref="C24" authorId="0" shapeId="0">
      <text>
        <t>Market Cap ~$86.5B: HKG:0981 at HKD 63.75/share × 10.64B shares ÷ 7.83. EV = Mkt Cap + estimated net debt $5.55B (total debt ~$15B, cash ~$9.45B). Premium vs. global peers reflects SMIC's strategic importance to China's chip self-sufficiency.</t>
      </text>
    </comment>
    <comment ref="D24" authorId="0" shapeId="0">
      <text>
        <t>Market Cap ~$86.5B: HKG:0981 at HKD 63.75/share × 10.64B shares ÷ 7.83. EV = Mkt Cap + estimated net debt $5.55B (total debt ~$15B, cash ~$9.45B). Premium vs. global peers reflects SMIC's strategic importance to China's chip self-sufficiency.</t>
      </text>
    </comment>
    <comment ref="C25" authorId="0" shapeId="0">
      <text>
        <t>Source: StockAnalysis.com / Yahoo Finance (Jan 2026). Market Cap $26.53B, Enterprise Value $18.69B (implies ~$7.8B net cash).</t>
      </text>
    </comment>
    <comment ref="D25" authorId="0" shapeId="0">
      <text>
        <t>Source: StockAnalysis.com / Yahoo Finance (Jan 2026). Market Cap $26.53B, Enterprise Value $18.69B (implies ~$7.8B net cash).</t>
      </text>
    </comment>
    <comment ref="C26" authorId="0" shapeId="0">
      <text>
        <t>Source: Yahoo Finance key statistics. Market Cap $25.92B, EV $24.53B. EV/EBITDA based on Non-IFRS Adj. EBITDA $2,475M.</t>
      </text>
    </comment>
    <comment ref="D26" authorId="0" shapeId="0">
      <text>
        <t>Source: Yahoo Finance key statistics. Market Cap $25.92B, EV $24.53B. EV/EBITDA based on Non-IFRS Adj. EBITDA $2,475M.</t>
      </text>
    </comment>
    <comment ref="G26" authorId="0" shapeId="0">
      <text>
        <t>P/E NM: GFS GAAP net loss $262M in FY2024 due to $935M asset impairment.</t>
      </text>
    </comment>
    <comment ref="C27" authorId="0" shapeId="0">
      <text>
        <t>Market Cap ~$23.1B: HKG:1347 at 181.08B HKD ÷ 7.83. EV est. ~$24B (net debt ~$900M). Extreme P/E reflects China strategic-asset premium.</t>
      </text>
    </comment>
    <comment ref="D27" authorId="0" shapeId="0">
      <text>
        <t>Market Cap ~$23.1B: HKG:1347 at 181.08B HKD ÷ 7.83. EV est. ~$24B (net debt ~$900M). Extreme P/E reflects China strategic-asset premium.</t>
      </text>
    </comment>
    <comment ref="C28" authorId="0" shapeId="0">
      <text>
        <t>Market Cap $14.04B per companiesmarketcap.com (March 2026). EV ~$12B estimated (net cash ~$2B from strong FCF generation).</t>
      </text>
    </comment>
    <comment ref="D28" authorId="0" shapeId="0">
      <text>
        <t>Market Cap $14.04B per companiesmarketcap.com (March 2026). EV ~$12B estimated (net cash ~$2B from strong FCF generation).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4" customWidth="1" min="4" max="4"/>
    <col width="15" customWidth="1" min="5" max="5"/>
    <col width="12" customWidth="1" min="6" max="6"/>
    <col width="14" customWidth="1" min="7" max="7"/>
    <col width="13" customWidth="1" min="8" max="8"/>
    <col width="14" customWidth="1" min="9" max="9"/>
    <col width="12" customWidth="1" min="10" max="10"/>
  </cols>
  <sheetData>
    <row r="1" ht="32" customHeight="1">
      <c r="A1" s="1" t="inlineStr">
        <is>
          <t>SEMICONDUCTOR FOUNDRY — COMPARABLE COMPANY ANALYSIS</t>
        </is>
      </c>
    </row>
    <row r="2" ht="18" customHeight="1">
      <c r="A2" s="2" t="inlineStr">
        <is>
          <t>TSMC (TSM)  •  SMIC (0981.HK)  •  UMC (UMC)  •  GlobalFoundries (GFS)  •  Hua Hong Semiconductor (1347.HK)  •  Tower Semiconductor (TSEM)</t>
        </is>
      </c>
    </row>
    <row r="3" ht="18" customHeight="1">
      <c r="A3" s="3" t="inlineStr">
        <is>
          <t>As of Q1 2026  |  FY2024 Financial Data  |  All figures in USD Millions except margins and ratios</t>
        </is>
      </c>
    </row>
    <row r="5" ht="22" customHeight="1">
      <c r="A5" s="4" t="inlineStr">
        <is>
          <t>OPERATING STATISTICS &amp; FINANCIAL METRICS</t>
        </is>
      </c>
    </row>
    <row r="6" ht="38" customHeight="1">
      <c r="A6" s="5" t="inlineStr">
        <is>
          <t>Company</t>
        </is>
      </c>
      <c r="B6" s="5" t="inlineStr">
        <is>
          <t>Ticker</t>
        </is>
      </c>
      <c r="C6" s="5" t="inlineStr">
        <is>
          <t>Revenue
(FY2024, $M)</t>
        </is>
      </c>
      <c r="D6" s="5" t="inlineStr">
        <is>
          <t>Revenue
Growth (YoY)</t>
        </is>
      </c>
      <c r="E6" s="5" t="inlineStr">
        <is>
          <t>Gross Profit
($M)</t>
        </is>
      </c>
      <c r="F6" s="5" t="inlineStr">
        <is>
          <t>Gross
Margin</t>
        </is>
      </c>
      <c r="G6" s="5" t="inlineStr">
        <is>
          <t>EBITDA
($M)</t>
        </is>
      </c>
      <c r="H6" s="5" t="inlineStr">
        <is>
          <t>EBITDA
Margin</t>
        </is>
      </c>
      <c r="I6" s="5" t="inlineStr">
        <is>
          <t>Net Income
($M)</t>
        </is>
      </c>
      <c r="J6" s="5" t="inlineStr">
        <is>
          <t>CapEx
($M)</t>
        </is>
      </c>
    </row>
    <row r="7" ht="20" customHeight="1">
      <c r="A7" s="6" t="inlineStr">
        <is>
          <t>TSMC</t>
        </is>
      </c>
      <c r="B7" s="7" t="inlineStr">
        <is>
          <t>TSM</t>
        </is>
      </c>
      <c r="C7" s="8" t="n">
        <v>88340</v>
      </c>
      <c r="D7" s="9" t="n">
        <v>0.3</v>
      </c>
      <c r="E7" s="8" t="n">
        <v>49559</v>
      </c>
      <c r="F7" s="10">
        <f>E7/C7</f>
        <v/>
      </c>
      <c r="G7" s="8" t="n">
        <v>60532</v>
      </c>
      <c r="H7" s="10">
        <f>G7/C7</f>
        <v/>
      </c>
      <c r="I7" s="8" t="n">
        <v>36665</v>
      </c>
      <c r="J7" s="8" t="n">
        <v>32000</v>
      </c>
    </row>
    <row r="8" ht="20" customHeight="1">
      <c r="A8" s="6" t="inlineStr">
        <is>
          <t>SMIC</t>
        </is>
      </c>
      <c r="B8" s="7" t="inlineStr">
        <is>
          <t>0981.HK</t>
        </is>
      </c>
      <c r="C8" s="8" t="n">
        <v>8030</v>
      </c>
      <c r="D8" s="9" t="n">
        <v>0.27</v>
      </c>
      <c r="E8" s="8" t="n">
        <v>1445</v>
      </c>
      <c r="F8" s="10">
        <f>E8/C8</f>
        <v/>
      </c>
      <c r="G8" s="8" t="n">
        <v>4380</v>
      </c>
      <c r="H8" s="10">
        <f>G8/C8</f>
        <v/>
      </c>
      <c r="I8" s="8" t="n">
        <v>493</v>
      </c>
      <c r="J8" s="8" t="n">
        <v>7330</v>
      </c>
    </row>
    <row r="9" ht="20" customHeight="1">
      <c r="A9" s="6" t="inlineStr">
        <is>
          <t>UMC</t>
        </is>
      </c>
      <c r="B9" s="7" t="inlineStr">
        <is>
          <t>UMC</t>
        </is>
      </c>
      <c r="C9" s="8" t="n">
        <v>7085</v>
      </c>
      <c r="D9" s="9" t="n">
        <v>-0.025</v>
      </c>
      <c r="E9" s="8" t="n">
        <v>2049</v>
      </c>
      <c r="F9" s="10">
        <f>E9/C9</f>
        <v/>
      </c>
      <c r="G9" s="8" t="n">
        <v>2950</v>
      </c>
      <c r="H9" s="10">
        <f>G9/C9</f>
        <v/>
      </c>
      <c r="I9" s="8" t="n">
        <v>1488</v>
      </c>
      <c r="J9" s="8" t="n">
        <v>2200</v>
      </c>
    </row>
    <row r="10" ht="20" customHeight="1">
      <c r="A10" s="6" t="inlineStr">
        <is>
          <t>GlobalFoundries</t>
        </is>
      </c>
      <c r="B10" s="7" t="inlineStr">
        <is>
          <t>GFS</t>
        </is>
      </c>
      <c r="C10" s="8" t="n">
        <v>6750</v>
      </c>
      <c r="D10" s="9" t="n">
        <v>-0.09</v>
      </c>
      <c r="E10" s="8" t="n">
        <v>1654</v>
      </c>
      <c r="F10" s="10">
        <f>E10/C10</f>
        <v/>
      </c>
      <c r="G10" s="8" t="n">
        <v>2475</v>
      </c>
      <c r="H10" s="10">
        <f>G10/C10</f>
        <v/>
      </c>
      <c r="I10" s="3" t="inlineStr">
        <is>
          <t>NM</t>
        </is>
      </c>
      <c r="J10" s="8" t="n">
        <v>1200</v>
      </c>
    </row>
    <row r="11" ht="20" customHeight="1">
      <c r="A11" s="6" t="inlineStr">
        <is>
          <t>Hua Hong Semi</t>
        </is>
      </c>
      <c r="B11" s="7" t="inlineStr">
        <is>
          <t>1347.HK</t>
        </is>
      </c>
      <c r="C11" s="8" t="n">
        <v>2000</v>
      </c>
      <c r="D11" s="9" t="n">
        <v>-0.123</v>
      </c>
      <c r="E11" s="8" t="n">
        <v>204</v>
      </c>
      <c r="F11" s="10">
        <f>E11/C11</f>
        <v/>
      </c>
      <c r="G11" s="8" t="n">
        <v>500</v>
      </c>
      <c r="H11" s="10">
        <f>G11/C11</f>
        <v/>
      </c>
      <c r="I11" s="8" t="n">
        <v>58</v>
      </c>
      <c r="J11" s="8" t="n">
        <v>900</v>
      </c>
    </row>
    <row r="12" ht="20" customHeight="1">
      <c r="A12" s="6" t="inlineStr">
        <is>
          <t>Tower Semi</t>
        </is>
      </c>
      <c r="B12" s="7" t="inlineStr">
        <is>
          <t>TSEM</t>
        </is>
      </c>
      <c r="C12" s="8" t="n">
        <v>1440</v>
      </c>
      <c r="D12" s="9" t="n">
        <v>0.008999999999999999</v>
      </c>
      <c r="E12" s="8" t="n">
        <v>340</v>
      </c>
      <c r="F12" s="10">
        <f>E12/C12</f>
        <v/>
      </c>
      <c r="G12" s="8" t="n">
        <v>458</v>
      </c>
      <c r="H12" s="10">
        <f>G12/C12</f>
        <v/>
      </c>
      <c r="I12" s="8" t="n">
        <v>205</v>
      </c>
      <c r="J12" s="8" t="n">
        <v>320</v>
      </c>
    </row>
    <row r="14" ht="20" customHeight="1">
      <c r="A14" s="11" t="inlineStr">
        <is>
          <t>Maximum</t>
        </is>
      </c>
      <c r="B14" s="12" t="n"/>
      <c r="C14" s="12" t="n"/>
      <c r="D14" s="13">
        <f>MAX(D7:D12)</f>
        <v/>
      </c>
      <c r="E14" s="12" t="n"/>
      <c r="F14" s="13">
        <f>MAX(F7:F12)</f>
        <v/>
      </c>
      <c r="G14" s="12" t="n"/>
      <c r="H14" s="13">
        <f>MAX(H7:H12)</f>
        <v/>
      </c>
      <c r="I14" s="12" t="n"/>
      <c r="J14" s="12" t="n"/>
    </row>
    <row r="15" ht="20" customHeight="1">
      <c r="A15" s="11" t="inlineStr">
        <is>
          <t>75th Percentile</t>
        </is>
      </c>
      <c r="B15" s="12" t="n"/>
      <c r="C15" s="12" t="n"/>
      <c r="D15" s="13">
        <f>QUARTILE(D7:D12,3)</f>
        <v/>
      </c>
      <c r="E15" s="12" t="n"/>
      <c r="F15" s="13">
        <f>QUARTILE(F7:F12,3)</f>
        <v/>
      </c>
      <c r="G15" s="12" t="n"/>
      <c r="H15" s="13">
        <f>QUARTILE(H7:H12,3)</f>
        <v/>
      </c>
      <c r="I15" s="12" t="n"/>
      <c r="J15" s="12" t="n"/>
    </row>
    <row r="16" ht="20" customHeight="1">
      <c r="A16" s="11" t="inlineStr">
        <is>
          <t>Median</t>
        </is>
      </c>
      <c r="B16" s="12" t="n"/>
      <c r="C16" s="12" t="n"/>
      <c r="D16" s="13">
        <f>MEDIAN(D7:D12)</f>
        <v/>
      </c>
      <c r="E16" s="12" t="n"/>
      <c r="F16" s="13">
        <f>MEDIAN(F7:F12)</f>
        <v/>
      </c>
      <c r="G16" s="12" t="n"/>
      <c r="H16" s="13">
        <f>MEDIAN(H7:H12)</f>
        <v/>
      </c>
      <c r="I16" s="12" t="n"/>
      <c r="J16" s="12" t="n"/>
    </row>
    <row r="17" ht="20" customHeight="1">
      <c r="A17" s="11" t="inlineStr">
        <is>
          <t>25th Percentile</t>
        </is>
      </c>
      <c r="B17" s="12" t="n"/>
      <c r="C17" s="12" t="n"/>
      <c r="D17" s="13">
        <f>QUARTILE(D7:D12,1)</f>
        <v/>
      </c>
      <c r="E17" s="12" t="n"/>
      <c r="F17" s="13">
        <f>QUARTILE(F7:F12,1)</f>
        <v/>
      </c>
      <c r="G17" s="12" t="n"/>
      <c r="H17" s="13">
        <f>QUARTILE(H7:H12,1)</f>
        <v/>
      </c>
      <c r="I17" s="12" t="n"/>
      <c r="J17" s="12" t="n"/>
    </row>
    <row r="18" ht="20" customHeight="1">
      <c r="A18" s="11" t="inlineStr">
        <is>
          <t>Minimum</t>
        </is>
      </c>
      <c r="B18" s="12" t="n"/>
      <c r="C18" s="12" t="n"/>
      <c r="D18" s="13">
        <f>MIN(D7:D12)</f>
        <v/>
      </c>
      <c r="E18" s="12" t="n"/>
      <c r="F18" s="13">
        <f>MIN(F7:F12)</f>
        <v/>
      </c>
      <c r="G18" s="12" t="n"/>
      <c r="H18" s="13">
        <f>MIN(H7:H12)</f>
        <v/>
      </c>
      <c r="I18" s="12" t="n"/>
      <c r="J18" s="12" t="n"/>
    </row>
    <row r="21" ht="22" customHeight="1">
      <c r="A21" s="4" t="inlineStr">
        <is>
          <t>VALUATION MULTIPLES</t>
        </is>
      </c>
    </row>
    <row r="22" ht="38" customHeight="1">
      <c r="A22" s="5" t="inlineStr">
        <is>
          <t>Company</t>
        </is>
      </c>
      <c r="B22" s="5" t="inlineStr">
        <is>
          <t>Ticker</t>
        </is>
      </c>
      <c r="C22" s="5" t="inlineStr">
        <is>
          <t>Market Cap
($M)</t>
        </is>
      </c>
      <c r="D22" s="5" t="inlineStr">
        <is>
          <t>Enterprise
Value ($M)</t>
        </is>
      </c>
      <c r="E22" s="5" t="inlineStr">
        <is>
          <t>EV / Revenue</t>
        </is>
      </c>
      <c r="F22" s="5" t="inlineStr">
        <is>
          <t>EV / EBITDA</t>
        </is>
      </c>
      <c r="G22" s="5" t="inlineStr">
        <is>
          <t>P / E</t>
        </is>
      </c>
    </row>
    <row r="23" ht="20" customHeight="1">
      <c r="A23" s="6" t="inlineStr">
        <is>
          <t>TSMC</t>
        </is>
      </c>
      <c r="B23" s="7" t="inlineStr">
        <is>
          <t>TSM</t>
        </is>
      </c>
      <c r="C23" s="8" t="n">
        <v>850000</v>
      </c>
      <c r="D23" s="8" t="n">
        <v>810000</v>
      </c>
      <c r="E23" s="14">
        <f>D23/C7</f>
        <v/>
      </c>
      <c r="F23" s="14">
        <f>D23/G7</f>
        <v/>
      </c>
      <c r="G23" s="14">
        <f>IFERROR(C23/I7,"NM")</f>
        <v/>
      </c>
    </row>
    <row r="24" ht="20" customHeight="1">
      <c r="A24" s="6" t="inlineStr">
        <is>
          <t>SMIC</t>
        </is>
      </c>
      <c r="B24" s="7" t="inlineStr">
        <is>
          <t>0981.HK</t>
        </is>
      </c>
      <c r="C24" s="8" t="n">
        <v>86450</v>
      </c>
      <c r="D24" s="8" t="n">
        <v>92000</v>
      </c>
      <c r="E24" s="14">
        <f>D24/C8</f>
        <v/>
      </c>
      <c r="F24" s="14">
        <f>D24/G8</f>
        <v/>
      </c>
      <c r="G24" s="14">
        <f>IFERROR(C24/I8,"NM")</f>
        <v/>
      </c>
    </row>
    <row r="25" ht="20" customHeight="1">
      <c r="A25" s="6" t="inlineStr">
        <is>
          <t>UMC</t>
        </is>
      </c>
      <c r="B25" s="7" t="inlineStr">
        <is>
          <t>UMC</t>
        </is>
      </c>
      <c r="C25" s="8" t="n">
        <v>26530</v>
      </c>
      <c r="D25" s="8" t="n">
        <v>18690</v>
      </c>
      <c r="E25" s="14">
        <f>D25/C9</f>
        <v/>
      </c>
      <c r="F25" s="14">
        <f>D25/G9</f>
        <v/>
      </c>
      <c r="G25" s="14">
        <f>IFERROR(C25/I9,"NM")</f>
        <v/>
      </c>
    </row>
    <row r="26" ht="20" customHeight="1">
      <c r="A26" s="6" t="inlineStr">
        <is>
          <t>GlobalFoundries</t>
        </is>
      </c>
      <c r="B26" s="7" t="inlineStr">
        <is>
          <t>GFS</t>
        </is>
      </c>
      <c r="C26" s="8" t="n">
        <v>25920</v>
      </c>
      <c r="D26" s="8" t="n">
        <v>24530</v>
      </c>
      <c r="E26" s="14">
        <f>D26/C10</f>
        <v/>
      </c>
      <c r="F26" s="14">
        <f>D26/G10</f>
        <v/>
      </c>
      <c r="G26" s="3" t="inlineStr">
        <is>
          <t>NM</t>
        </is>
      </c>
    </row>
    <row r="27" ht="20" customHeight="1">
      <c r="A27" s="6" t="inlineStr">
        <is>
          <t>Hua Hong Semi</t>
        </is>
      </c>
      <c r="B27" s="7" t="inlineStr">
        <is>
          <t>1347.HK</t>
        </is>
      </c>
      <c r="C27" s="8" t="n">
        <v>23100</v>
      </c>
      <c r="D27" s="8" t="n">
        <v>24000</v>
      </c>
      <c r="E27" s="14">
        <f>D27/C11</f>
        <v/>
      </c>
      <c r="F27" s="14">
        <f>D27/G11</f>
        <v/>
      </c>
      <c r="G27" s="14">
        <f>IFERROR(C27/I11,"NM")</f>
        <v/>
      </c>
    </row>
    <row r="28" ht="20" customHeight="1">
      <c r="A28" s="6" t="inlineStr">
        <is>
          <t>Tower Semi</t>
        </is>
      </c>
      <c r="B28" s="7" t="inlineStr">
        <is>
          <t>TSEM</t>
        </is>
      </c>
      <c r="C28" s="8" t="n">
        <v>14040</v>
      </c>
      <c r="D28" s="8" t="n">
        <v>12000</v>
      </c>
      <c r="E28" s="14">
        <f>D28/C12</f>
        <v/>
      </c>
      <c r="F28" s="14">
        <f>D28/G12</f>
        <v/>
      </c>
      <c r="G28" s="14">
        <f>IFERROR(C28/I12,"NM")</f>
        <v/>
      </c>
    </row>
    <row r="30" ht="20" customHeight="1">
      <c r="A30" s="11" t="inlineStr">
        <is>
          <t>Maximum</t>
        </is>
      </c>
      <c r="B30" s="12" t="n"/>
      <c r="C30" s="12" t="n"/>
      <c r="D30" s="12" t="n"/>
      <c r="E30" s="15">
        <f>MAX(E23:E28)</f>
        <v/>
      </c>
      <c r="F30" s="15">
        <f>MAX(F23:F28)</f>
        <v/>
      </c>
      <c r="G30" s="15">
        <f>MAX(G23:G28)</f>
        <v/>
      </c>
    </row>
    <row r="31" ht="20" customHeight="1">
      <c r="A31" s="11" t="inlineStr">
        <is>
          <t>75th Percentile</t>
        </is>
      </c>
      <c r="B31" s="12" t="n"/>
      <c r="C31" s="12" t="n"/>
      <c r="D31" s="12" t="n"/>
      <c r="E31" s="15">
        <f>QUARTILE(E23:E28,3)</f>
        <v/>
      </c>
      <c r="F31" s="15">
        <f>QUARTILE(F23:F28,3)</f>
        <v/>
      </c>
      <c r="G31" s="15">
        <f>QUARTILE(G23:G28,3)</f>
        <v/>
      </c>
    </row>
    <row r="32" ht="20" customHeight="1">
      <c r="A32" s="11" t="inlineStr">
        <is>
          <t>Median</t>
        </is>
      </c>
      <c r="B32" s="12" t="n"/>
      <c r="C32" s="12" t="n"/>
      <c r="D32" s="12" t="n"/>
      <c r="E32" s="15">
        <f>MEDIAN(E23:E28)</f>
        <v/>
      </c>
      <c r="F32" s="15">
        <f>MEDIAN(F23:F28)</f>
        <v/>
      </c>
      <c r="G32" s="15">
        <f>MEDIAN(G23:G28)</f>
        <v/>
      </c>
    </row>
    <row r="33" ht="20" customHeight="1">
      <c r="A33" s="11" t="inlineStr">
        <is>
          <t>25th Percentile</t>
        </is>
      </c>
      <c r="B33" s="12" t="n"/>
      <c r="C33" s="12" t="n"/>
      <c r="D33" s="12" t="n"/>
      <c r="E33" s="15">
        <f>QUARTILE(E23:E28,1)</f>
        <v/>
      </c>
      <c r="F33" s="15">
        <f>QUARTILE(F23:F28,1)</f>
        <v/>
      </c>
      <c r="G33" s="15">
        <f>QUARTILE(G23:G28,1)</f>
        <v/>
      </c>
    </row>
    <row r="34" ht="20" customHeight="1">
      <c r="A34" s="11" t="inlineStr">
        <is>
          <t>Minimum</t>
        </is>
      </c>
      <c r="B34" s="12" t="n"/>
      <c r="C34" s="12" t="n"/>
      <c r="D34" s="12" t="n"/>
      <c r="E34" s="15">
        <f>MIN(E23:E28)</f>
        <v/>
      </c>
      <c r="F34" s="15">
        <f>MIN(F23:F28)</f>
        <v/>
      </c>
      <c r="G34" s="15">
        <f>MIN(G23:G28)</f>
        <v/>
      </c>
    </row>
    <row r="37" ht="22" customHeight="1">
      <c r="A37" s="4" t="inlineStr">
        <is>
          <t>NOTES &amp; METHODOLOGY</t>
        </is>
      </c>
    </row>
    <row r="38" ht="48" customHeight="1">
      <c r="A38" s="16" t="inlineStr">
        <is>
          <t>Data Sources</t>
        </is>
      </c>
      <c r="B38" s="17" t="inlineStr">
        <is>
          <t>FY2024 financials sourced from official earnings releases and annual reports: TSMC (investor.tsmc.com), SMIC (smics.com), UMC (umc.com/ir), GlobalFoundries (investors.gf.com), Hua Hong (huahonggrace.com), Tower Semiconductor (globenewswire.com). Market cap / EV data as of ~Q1 2026.</t>
        </is>
      </c>
    </row>
    <row r="39" ht="48" customHeight="1">
      <c r="A39" s="16" t="inlineStr">
        <is>
          <t>Currency</t>
        </is>
      </c>
      <c r="B39" s="17" t="inlineStr">
        <is>
          <t>All figures in USD Millions. TWD figures (TSMC, UMC) converted at ~32 TWD/USD. HKD figures (SMIC, Hua Hong) converted at 7.83 HKD/USD. CNY at 7.18 CNY/USD.</t>
        </is>
      </c>
    </row>
    <row r="40" ht="48" customHeight="1">
      <c r="A40" s="16" t="inlineStr">
        <is>
          <t>EBITDA</t>
        </is>
      </c>
      <c r="B40" s="17" t="inlineStr">
        <is>
          <t>SMIC and GFS EBITDA from official disclosures. TSMC EBITDA $60.5B per MacroTrends (68.5% margin, consistent with high D&amp;A on ~$300B+ PP&amp;E). UMC and Hua Hong EBITDA estimated as Operating Income + D&amp;A. Note: foundry EBITDA margins appear high (~40–70%) because D&amp;A on capital-intensive PP&amp;E is added back.</t>
        </is>
      </c>
    </row>
    <row r="41" ht="48" customHeight="1">
      <c r="A41" s="16" t="inlineStr">
        <is>
          <t>Enterprise Value</t>
        </is>
      </c>
      <c r="B41" s="17" t="inlineStr">
        <is>
          <t>EV = Market Cap + Net Debt (Total Debt – Cash &amp; Equivalents). TSMC and UMC carry significant net cash positions, reducing EV below market cap. SMIC and Hua Hong carry net debt, reflecting ongoing capacity-expansion capex programs.</t>
        </is>
      </c>
    </row>
    <row r="42" ht="48" customHeight="1">
      <c r="A42" s="16" t="inlineStr">
        <is>
          <t>China Strategic Premium</t>
        </is>
      </c>
      <c r="B42" s="17" t="inlineStr">
        <is>
          <t>SMIC and Hua Hong trade at substantial premiums to global peers on P/E (175x and ~400x respectively). This reflects China's national push for semiconductor self-sufficiency, government support expectations, and scarcity of domestically listed advanced foundry assets amid US export controls — not a reflection of near-term earnings power.</t>
        </is>
      </c>
    </row>
    <row r="43" ht="48" customHeight="1">
      <c r="A43" s="16" t="inlineStr">
        <is>
          <t>GlobalFoundries P/E (NM)</t>
        </is>
      </c>
      <c r="B43" s="17" t="inlineStr">
        <is>
          <t>GFS reported a GAAP net loss of $262M in FY2024 due to a $935M impairment charge on long-lived assets at its Malta, NY facility. Non-GAAP net income was $870M. EV/EBITDA uses Non-IFRS Adjusted EBITDA of $2,475M per GFS disclosure.</t>
        </is>
      </c>
    </row>
    <row r="44" ht="48" customHeight="1">
      <c r="A44" s="16" t="inlineStr">
        <is>
          <t>CapEx Intensity</t>
        </is>
      </c>
      <c r="B44" s="17" t="inlineStr">
        <is>
          <t>Semiconductor foundry is highly capital-intensive. SMIC FY2024 CapEx of $7.33B represents 91% of revenue — among the most aggressive expansions globally. TSMC CapEx ~$32B (36% of revenue). CapEx/Revenue ratio drives future D&amp;A and should be considered alongside EBITDA when assessing sustainable free cash flow.</t>
        </is>
      </c>
    </row>
    <row r="45" ht="48" customHeight="1">
      <c r="A45" s="16" t="inlineStr">
        <is>
          <t>Peer Selection</t>
        </is>
      </c>
      <c r="B45" s="17" t="inlineStr">
        <is>
          <t>Peer group limited to pure-play contract IC manufacturers. Samsung Foundry excluded (division of diversified conglomerate). Intel Foundry excluded (pre-scale, transition phase with insufficient comparable history). Powerchip (non-public) and PSMC excluded (limited disclosure).</t>
        </is>
      </c>
    </row>
  </sheetData>
  <mergeCells count="14">
    <mergeCell ref="A1:J1"/>
    <mergeCell ref="A5:J5"/>
    <mergeCell ref="A37:J37"/>
    <mergeCell ref="B44:J44"/>
    <mergeCell ref="B42:J42"/>
    <mergeCell ref="B45:J45"/>
    <mergeCell ref="A21:G21"/>
    <mergeCell ref="A3:J3"/>
    <mergeCell ref="B40:J40"/>
    <mergeCell ref="B41:J41"/>
    <mergeCell ref="A2:J2"/>
    <mergeCell ref="B43:J43"/>
    <mergeCell ref="B39:J39"/>
    <mergeCell ref="B38:J3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2026-03-12T16:16:09Z</dcterms:created>
  <dcterms:modified xsi:type="dcterms:W3CDTF">2026-03-12T16:16:09Z</dcterms:modified>
</cp:coreProperties>
</file>